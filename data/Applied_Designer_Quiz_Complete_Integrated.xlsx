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 Questions" sheetId="1" r:id="rId4"/>
    <sheet state="visible" name="Answer Key" sheetId="2" r:id="rId5"/>
    <sheet state="visible" name="Archetype-Dimension Map" sheetId="3" r:id="rId6"/>
    <sheet state="visible" name="Quiz Responses" sheetId="4" r:id="rId7"/>
    <sheet state="visible" name="Scoring" sheetId="5" r:id="rId8"/>
  </sheets>
  <definedNames/>
  <calcPr/>
  <extLst>
    <ext uri="GoogleSheetsCustomDataVersion2">
      <go:sheetsCustomData xmlns:go="http://customooxmlschemas.google.com/" r:id="rId9" roundtripDataChecksum="2ObH4rNpVtBfZ2oTTVtzPCy9HDFaVX3zkyA7yf3Rq9U="/>
    </ext>
  </extLst>
</workbook>
</file>

<file path=xl/sharedStrings.xml><?xml version="1.0" encoding="utf-8"?>
<sst xmlns="http://schemas.openxmlformats.org/spreadsheetml/2006/main" count="331" uniqueCount="114">
  <si>
    <t>Question</t>
  </si>
  <si>
    <t>A</t>
  </si>
  <si>
    <t>B</t>
  </si>
  <si>
    <t>C</t>
  </si>
  <si>
    <t>D</t>
  </si>
  <si>
    <t>E</t>
  </si>
  <si>
    <t>What excites you most when starting a new project?</t>
  </si>
  <si>
    <t>Finding patterns and designing a system</t>
  </si>
  <si>
    <t>Researching the context</t>
  </si>
  <si>
    <t>Trying a lot of different ideas</t>
  </si>
  <si>
    <t>Getting the team to work toward the same vision</t>
  </si>
  <si>
    <t>Discovery along the way</t>
  </si>
  <si>
    <t>How do you approach working with others?</t>
  </si>
  <si>
    <t>Bridging gaps between people or roles</t>
  </si>
  <si>
    <t>Taking the lead and shaping the process</t>
  </si>
  <si>
    <t>Filling in wherever I’m needed</t>
  </si>
  <si>
    <t>Supporting others as they grow</t>
  </si>
  <si>
    <t>Keeping things small and focused</t>
  </si>
  <si>
    <t>What’s your creative strength?</t>
  </si>
  <si>
    <t>Connecting unexpected ideas</t>
  </si>
  <si>
    <t>Making sense of messy information</t>
  </si>
  <si>
    <t>Asking bold questions</t>
  </si>
  <si>
    <t>Turning plans into action</t>
  </si>
  <si>
    <t>Explaining ideas clearly</t>
  </si>
  <si>
    <t>What kind of challenge energizes you?</t>
  </si>
  <si>
    <t>Scaling an idea across different contexts</t>
  </si>
  <si>
    <t>Working without a clear path</t>
  </si>
  <si>
    <t>Digging into deeper meaning</t>
  </si>
  <si>
    <t>Changing how people think or act</t>
  </si>
  <si>
    <t>Reinventing how things are done</t>
  </si>
  <si>
    <t>When I’m stuck, I…</t>
  </si>
  <si>
    <t>Jump into making something</t>
  </si>
  <si>
    <t>Look back at my research</t>
  </si>
  <si>
    <t>Zoom out and reframe the problem</t>
  </si>
  <si>
    <t>Talk it through with someone</t>
  </si>
  <si>
    <t>Try something totally unexpected</t>
  </si>
  <si>
    <t>How would I describe my creative path so far?</t>
  </si>
  <si>
    <t>Nonlinear and cross-disciplinary</t>
  </si>
  <si>
    <t>Driven by purpose or values</t>
  </si>
  <si>
    <t>Full of pivots and changes</t>
  </si>
  <si>
    <t>Focused on shaping ideas with others</t>
  </si>
  <si>
    <t>Still in motion — and open</t>
  </si>
  <si>
    <t>In an ideal world, my work would…</t>
  </si>
  <si>
    <t>Teach or inspire someone else</t>
  </si>
  <si>
    <t>Spark new possibilities</t>
  </si>
  <si>
    <t>Shift a system or community</t>
  </si>
  <si>
    <t>Work across different platforms</t>
  </si>
  <si>
    <t>Stay fluid and adaptable</t>
  </si>
  <si>
    <t>What do I value most when designing?</t>
  </si>
  <si>
    <t>Structure and cohesion</t>
  </si>
  <si>
    <t>Context and clarity</t>
  </si>
  <si>
    <t>Play and experimentation</t>
  </si>
  <si>
    <t>Connection and collaboration</t>
  </si>
  <si>
    <t>Speed and flow</t>
  </si>
  <si>
    <t>My dream project would be…</t>
  </si>
  <si>
    <t>Designing a system or workflow</t>
  </si>
  <si>
    <t>A speculative exhibition or provocation</t>
  </si>
  <si>
    <t>A mentorship or learning experience</t>
  </si>
  <si>
    <t>A tool that reshapes how we work</t>
  </si>
  <si>
    <t>Something that spans industries</t>
  </si>
  <si>
    <t>I relate to design tools as…</t>
  </si>
  <si>
    <t>Extensions of my thinking</t>
  </si>
  <si>
    <t>Things to question or remix</t>
  </si>
  <si>
    <t>Flexible and ever-changing</t>
  </si>
  <si>
    <t>Something I share or teach</t>
  </si>
  <si>
    <t>A way to visualize deeper ideas</t>
  </si>
  <si>
    <t>The kind of feedback that fuels me is…</t>
  </si>
  <si>
    <t>Open-ended questions</t>
  </si>
  <si>
    <t>Insight that clarifies meaning</t>
  </si>
  <si>
    <t>Fast reactions that shift the work</t>
  </si>
  <si>
    <t>Honest conversations</t>
  </si>
  <si>
    <t>Seeing it work in the real world</t>
  </si>
  <si>
    <t>I wish more people understood that design…</t>
  </si>
  <si>
    <t>Is not just visual — it’s strategic</t>
  </si>
  <si>
    <t>Can change how things work</t>
  </si>
  <si>
    <t>Is a way of thinking</t>
  </si>
  <si>
    <t>Thrives in complexity</t>
  </si>
  <si>
    <t>Belongs everywhere</t>
  </si>
  <si>
    <t>Answer</t>
  </si>
  <si>
    <t>Archetype</t>
  </si>
  <si>
    <t>Q1</t>
  </si>
  <si>
    <t>The Orchestrator</t>
  </si>
  <si>
    <t>The Researcher</t>
  </si>
  <si>
    <t>The Experimentalist</t>
  </si>
  <si>
    <t>The Director</t>
  </si>
  <si>
    <t>The Generalist</t>
  </si>
  <si>
    <t>Q2</t>
  </si>
  <si>
    <t>The Connector</t>
  </si>
  <si>
    <t>The Improviser</t>
  </si>
  <si>
    <t>The Educator</t>
  </si>
  <si>
    <t>Q3</t>
  </si>
  <si>
    <t>The Multidisciplinary</t>
  </si>
  <si>
    <t>The Disruptor</t>
  </si>
  <si>
    <t>The Advocate</t>
  </si>
  <si>
    <t>Q4</t>
  </si>
  <si>
    <t>Q5</t>
  </si>
  <si>
    <t>Q6</t>
  </si>
  <si>
    <t>The Idealist</t>
  </si>
  <si>
    <t>Q7</t>
  </si>
  <si>
    <t>Q8</t>
  </si>
  <si>
    <t>Q9</t>
  </si>
  <si>
    <t>Q10</t>
  </si>
  <si>
    <t>Q11</t>
  </si>
  <si>
    <t>Q12</t>
  </si>
  <si>
    <t>Strategy</t>
  </si>
  <si>
    <t>Adaptability</t>
  </si>
  <si>
    <t>Collaboration</t>
  </si>
  <si>
    <t>Experimentation</t>
  </si>
  <si>
    <t>Impact</t>
  </si>
  <si>
    <t>Top Archetype</t>
  </si>
  <si>
    <t>Second Archetype</t>
  </si>
  <si>
    <t>Combined Result</t>
  </si>
  <si>
    <t>F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</si>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</sst>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78</v>
      </c>
      <c r="C1" s="1" t="s">
        <v>79</v>
      </c>
    </row>
    <row r="2">
      <c r="A2" s="2" t="s">
        <v>80</v>
      </c>
      <c r="B2" s="2" t="s">
        <v>1</v>
      </c>
      <c r="C2" s="2" t="s">
        <v>81</v>
      </c>
    </row>
    <row r="3">
      <c r="A3" s="2" t="s">
        <v>80</v>
      </c>
      <c r="B3" s="2" t="s">
        <v>2</v>
      </c>
      <c r="C3" s="2" t="s">
        <v>82</v>
      </c>
    </row>
    <row r="4">
      <c r="A4" s="2" t="s">
        <v>80</v>
      </c>
      <c r="B4" s="2" t="s">
        <v>3</v>
      </c>
      <c r="C4" s="2" t="s">
        <v>83</v>
      </c>
    </row>
    <row r="5">
      <c r="A5" s="2" t="s">
        <v>80</v>
      </c>
      <c r="B5" s="2" t="s">
        <v>4</v>
      </c>
      <c r="C5" s="2" t="s">
        <v>84</v>
      </c>
    </row>
    <row r="6">
      <c r="A6" s="2" t="s">
        <v>80</v>
      </c>
      <c r="B6" s="2" t="s">
        <v>5</v>
      </c>
      <c r="C6" s="2" t="s">
        <v>85</v>
      </c>
    </row>
    <row r="7">
      <c r="A7" s="2" t="s">
        <v>86</v>
      </c>
      <c r="B7" s="2" t="s">
        <v>1</v>
      </c>
      <c r="C7" s="2" t="s">
        <v>87</v>
      </c>
    </row>
    <row r="8">
      <c r="A8" s="2" t="s">
        <v>86</v>
      </c>
      <c r="B8" s="2" t="s">
        <v>2</v>
      </c>
      <c r="C8" s="2" t="s">
        <v>84</v>
      </c>
    </row>
    <row r="9">
      <c r="A9" s="2" t="s">
        <v>86</v>
      </c>
      <c r="B9" s="2" t="s">
        <v>3</v>
      </c>
      <c r="C9" s="2" t="s">
        <v>88</v>
      </c>
    </row>
    <row r="10">
      <c r="A10" s="2" t="s">
        <v>86</v>
      </c>
      <c r="B10" s="2" t="s">
        <v>4</v>
      </c>
      <c r="C10" s="2" t="s">
        <v>89</v>
      </c>
    </row>
    <row r="11">
      <c r="A11" s="2" t="s">
        <v>86</v>
      </c>
      <c r="B11" s="2" t="s">
        <v>5</v>
      </c>
      <c r="C11" s="2" t="s">
        <v>85</v>
      </c>
    </row>
    <row r="12">
      <c r="A12" s="2" t="s">
        <v>90</v>
      </c>
      <c r="B12" s="2" t="s">
        <v>1</v>
      </c>
      <c r="C12" s="2" t="s">
        <v>91</v>
      </c>
    </row>
    <row r="13">
      <c r="A13" s="2" t="s">
        <v>90</v>
      </c>
      <c r="B13" s="2" t="s">
        <v>2</v>
      </c>
      <c r="C13" s="2" t="s">
        <v>81</v>
      </c>
    </row>
    <row r="14">
      <c r="A14" s="2" t="s">
        <v>90</v>
      </c>
      <c r="B14" s="2" t="s">
        <v>3</v>
      </c>
      <c r="C14" s="2" t="s">
        <v>92</v>
      </c>
    </row>
    <row r="15">
      <c r="A15" s="2" t="s">
        <v>90</v>
      </c>
      <c r="B15" s="2" t="s">
        <v>4</v>
      </c>
      <c r="C15" s="2" t="s">
        <v>93</v>
      </c>
    </row>
    <row r="16">
      <c r="A16" s="2" t="s">
        <v>90</v>
      </c>
      <c r="B16" s="2" t="s">
        <v>5</v>
      </c>
      <c r="C16" s="2" t="s">
        <v>89</v>
      </c>
    </row>
    <row r="17">
      <c r="A17" s="2" t="s">
        <v>94</v>
      </c>
      <c r="B17" s="2" t="s">
        <v>1</v>
      </c>
      <c r="C17" s="2" t="s">
        <v>81</v>
      </c>
    </row>
    <row r="18">
      <c r="A18" s="2" t="s">
        <v>94</v>
      </c>
      <c r="B18" s="2" t="s">
        <v>2</v>
      </c>
      <c r="C18" s="2" t="s">
        <v>88</v>
      </c>
    </row>
    <row r="19">
      <c r="A19" s="2" t="s">
        <v>94</v>
      </c>
      <c r="B19" s="2" t="s">
        <v>3</v>
      </c>
      <c r="C19" s="2" t="s">
        <v>82</v>
      </c>
    </row>
    <row r="20">
      <c r="A20" s="2" t="s">
        <v>94</v>
      </c>
      <c r="B20" s="2" t="s">
        <v>4</v>
      </c>
      <c r="C20" s="2" t="s">
        <v>93</v>
      </c>
    </row>
    <row r="21" ht="15.75" customHeight="1">
      <c r="A21" s="2" t="s">
        <v>94</v>
      </c>
      <c r="B21" s="2" t="s">
        <v>5</v>
      </c>
      <c r="C21" s="2" t="s">
        <v>92</v>
      </c>
    </row>
    <row r="22" ht="15.75" customHeight="1">
      <c r="A22" s="2" t="s">
        <v>95</v>
      </c>
      <c r="B22" s="2" t="s">
        <v>1</v>
      </c>
      <c r="C22" s="2" t="s">
        <v>83</v>
      </c>
    </row>
    <row r="23" ht="15.75" customHeight="1">
      <c r="A23" s="2" t="s">
        <v>95</v>
      </c>
      <c r="B23" s="2" t="s">
        <v>2</v>
      </c>
      <c r="C23" s="2" t="s">
        <v>82</v>
      </c>
    </row>
    <row r="24" ht="15.75" customHeight="1">
      <c r="A24" s="2" t="s">
        <v>95</v>
      </c>
      <c r="B24" s="2" t="s">
        <v>3</v>
      </c>
      <c r="C24" s="2" t="s">
        <v>85</v>
      </c>
    </row>
    <row r="25" ht="15.75" customHeight="1">
      <c r="A25" s="2" t="s">
        <v>95</v>
      </c>
      <c r="B25" s="2" t="s">
        <v>4</v>
      </c>
      <c r="C25" s="2" t="s">
        <v>87</v>
      </c>
    </row>
    <row r="26" ht="15.75" customHeight="1">
      <c r="A26" s="2" t="s">
        <v>95</v>
      </c>
      <c r="B26" s="2" t="s">
        <v>5</v>
      </c>
      <c r="C26" s="2" t="s">
        <v>92</v>
      </c>
    </row>
    <row r="27" ht="15.75" customHeight="1">
      <c r="A27" s="2" t="s">
        <v>96</v>
      </c>
      <c r="B27" s="2" t="s">
        <v>1</v>
      </c>
      <c r="C27" s="2" t="s">
        <v>91</v>
      </c>
    </row>
    <row r="28" ht="15.75" customHeight="1">
      <c r="A28" s="2" t="s">
        <v>96</v>
      </c>
      <c r="B28" s="2" t="s">
        <v>2</v>
      </c>
      <c r="C28" s="2" t="s">
        <v>97</v>
      </c>
    </row>
    <row r="29" ht="15.75" customHeight="1">
      <c r="A29" s="2" t="s">
        <v>96</v>
      </c>
      <c r="B29" s="2" t="s">
        <v>3</v>
      </c>
      <c r="C29" s="2" t="s">
        <v>88</v>
      </c>
    </row>
    <row r="30" ht="15.75" customHeight="1">
      <c r="A30" s="2" t="s">
        <v>96</v>
      </c>
      <c r="B30" s="2" t="s">
        <v>4</v>
      </c>
      <c r="C30" s="2" t="s">
        <v>84</v>
      </c>
    </row>
    <row r="31" ht="15.75" customHeight="1">
      <c r="A31" s="2" t="s">
        <v>96</v>
      </c>
      <c r="B31" s="2" t="s">
        <v>5</v>
      </c>
      <c r="C31" s="2" t="s">
        <v>85</v>
      </c>
    </row>
    <row r="32" ht="15.75" customHeight="1">
      <c r="A32" s="2" t="s">
        <v>98</v>
      </c>
      <c r="B32" s="2" t="s">
        <v>1</v>
      </c>
      <c r="C32" s="2" t="s">
        <v>89</v>
      </c>
    </row>
    <row r="33" ht="15.75" customHeight="1">
      <c r="A33" s="2" t="s">
        <v>98</v>
      </c>
      <c r="B33" s="2" t="s">
        <v>2</v>
      </c>
      <c r="C33" s="2" t="s">
        <v>83</v>
      </c>
    </row>
    <row r="34" ht="15.75" customHeight="1">
      <c r="A34" s="2" t="s">
        <v>98</v>
      </c>
      <c r="B34" s="2" t="s">
        <v>3</v>
      </c>
      <c r="C34" s="2" t="s">
        <v>93</v>
      </c>
    </row>
    <row r="35" ht="15.75" customHeight="1">
      <c r="A35" s="2" t="s">
        <v>98</v>
      </c>
      <c r="B35" s="2" t="s">
        <v>4</v>
      </c>
      <c r="C35" s="2" t="s">
        <v>81</v>
      </c>
    </row>
    <row r="36" ht="15.75" customHeight="1">
      <c r="A36" s="2" t="s">
        <v>98</v>
      </c>
      <c r="B36" s="2" t="s">
        <v>5</v>
      </c>
      <c r="C36" s="2" t="s">
        <v>85</v>
      </c>
    </row>
    <row r="37" ht="15.75" customHeight="1">
      <c r="A37" s="2" t="s">
        <v>99</v>
      </c>
      <c r="B37" s="2" t="s">
        <v>1</v>
      </c>
      <c r="C37" s="2" t="s">
        <v>81</v>
      </c>
    </row>
    <row r="38" ht="15.75" customHeight="1">
      <c r="A38" s="2" t="s">
        <v>99</v>
      </c>
      <c r="B38" s="2" t="s">
        <v>2</v>
      </c>
      <c r="C38" s="2" t="s">
        <v>82</v>
      </c>
    </row>
    <row r="39" ht="15.75" customHeight="1">
      <c r="A39" s="2" t="s">
        <v>99</v>
      </c>
      <c r="B39" s="2" t="s">
        <v>3</v>
      </c>
      <c r="C39" s="2" t="s">
        <v>83</v>
      </c>
    </row>
    <row r="40" ht="15.75" customHeight="1">
      <c r="A40" s="2" t="s">
        <v>99</v>
      </c>
      <c r="B40" s="2" t="s">
        <v>4</v>
      </c>
      <c r="C40" s="2" t="s">
        <v>87</v>
      </c>
    </row>
    <row r="41" ht="15.75" customHeight="1">
      <c r="A41" s="2" t="s">
        <v>99</v>
      </c>
      <c r="B41" s="2" t="s">
        <v>5</v>
      </c>
      <c r="C41" s="2" t="s">
        <v>88</v>
      </c>
    </row>
    <row r="42" ht="15.75" customHeight="1">
      <c r="A42" s="2" t="s">
        <v>100</v>
      </c>
      <c r="B42" s="2" t="s">
        <v>1</v>
      </c>
      <c r="C42" s="2" t="s">
        <v>81</v>
      </c>
    </row>
    <row r="43" ht="15.75" customHeight="1">
      <c r="A43" s="2" t="s">
        <v>100</v>
      </c>
      <c r="B43" s="2" t="s">
        <v>2</v>
      </c>
      <c r="C43" s="2" t="s">
        <v>83</v>
      </c>
    </row>
    <row r="44" ht="15.75" customHeight="1">
      <c r="A44" s="2" t="s">
        <v>100</v>
      </c>
      <c r="B44" s="2" t="s">
        <v>3</v>
      </c>
      <c r="C44" s="2" t="s">
        <v>89</v>
      </c>
    </row>
    <row r="45" ht="15.75" customHeight="1">
      <c r="A45" s="2" t="s">
        <v>100</v>
      </c>
      <c r="B45" s="2" t="s">
        <v>4</v>
      </c>
      <c r="C45" s="2" t="s">
        <v>92</v>
      </c>
    </row>
    <row r="46" ht="15.75" customHeight="1">
      <c r="A46" s="2" t="s">
        <v>100</v>
      </c>
      <c r="B46" s="2" t="s">
        <v>5</v>
      </c>
      <c r="C46" s="2" t="s">
        <v>91</v>
      </c>
    </row>
    <row r="47" ht="15.75" customHeight="1">
      <c r="A47" s="2" t="s">
        <v>101</v>
      </c>
      <c r="B47" s="2" t="s">
        <v>1</v>
      </c>
      <c r="C47" s="2" t="s">
        <v>82</v>
      </c>
    </row>
    <row r="48" ht="15.75" customHeight="1">
      <c r="A48" s="2" t="s">
        <v>101</v>
      </c>
      <c r="B48" s="2" t="s">
        <v>2</v>
      </c>
      <c r="C48" s="2" t="s">
        <v>92</v>
      </c>
    </row>
    <row r="49" ht="15.75" customHeight="1">
      <c r="A49" s="2" t="s">
        <v>101</v>
      </c>
      <c r="B49" s="2" t="s">
        <v>3</v>
      </c>
      <c r="C49" s="2" t="s">
        <v>85</v>
      </c>
    </row>
    <row r="50" ht="15.75" customHeight="1">
      <c r="A50" s="2" t="s">
        <v>101</v>
      </c>
      <c r="B50" s="2" t="s">
        <v>4</v>
      </c>
      <c r="C50" s="2" t="s">
        <v>89</v>
      </c>
    </row>
    <row r="51" ht="15.75" customHeight="1">
      <c r="A51" s="2" t="s">
        <v>101</v>
      </c>
      <c r="B51" s="2" t="s">
        <v>5</v>
      </c>
      <c r="C51" s="2" t="s">
        <v>97</v>
      </c>
    </row>
    <row r="52" ht="15.75" customHeight="1">
      <c r="A52" s="2" t="s">
        <v>102</v>
      </c>
      <c r="B52" s="2" t="s">
        <v>1</v>
      </c>
      <c r="C52" s="2" t="s">
        <v>82</v>
      </c>
    </row>
    <row r="53" ht="15.75" customHeight="1">
      <c r="A53" s="2" t="s">
        <v>102</v>
      </c>
      <c r="B53" s="2" t="s">
        <v>2</v>
      </c>
      <c r="C53" s="2" t="s">
        <v>89</v>
      </c>
    </row>
    <row r="54" ht="15.75" customHeight="1">
      <c r="A54" s="2" t="s">
        <v>102</v>
      </c>
      <c r="B54" s="2" t="s">
        <v>3</v>
      </c>
      <c r="C54" s="2" t="s">
        <v>88</v>
      </c>
    </row>
    <row r="55" ht="15.75" customHeight="1">
      <c r="A55" s="2" t="s">
        <v>102</v>
      </c>
      <c r="B55" s="2" t="s">
        <v>4</v>
      </c>
      <c r="C55" s="2" t="s">
        <v>84</v>
      </c>
    </row>
    <row r="56" ht="15.75" customHeight="1">
      <c r="A56" s="2" t="s">
        <v>102</v>
      </c>
      <c r="B56" s="2" t="s">
        <v>5</v>
      </c>
      <c r="C56" s="2" t="s">
        <v>93</v>
      </c>
    </row>
    <row r="57" ht="15.75" customHeight="1">
      <c r="A57" s="2" t="s">
        <v>103</v>
      </c>
      <c r="B57" s="2" t="s">
        <v>1</v>
      </c>
      <c r="C57" s="2" t="s">
        <v>81</v>
      </c>
    </row>
    <row r="58" ht="15.75" customHeight="1">
      <c r="A58" s="2" t="s">
        <v>103</v>
      </c>
      <c r="B58" s="2" t="s">
        <v>2</v>
      </c>
      <c r="C58" s="2" t="s">
        <v>93</v>
      </c>
    </row>
    <row r="59" ht="15.75" customHeight="1">
      <c r="A59" s="2" t="s">
        <v>103</v>
      </c>
      <c r="B59" s="2" t="s">
        <v>3</v>
      </c>
      <c r="C59" s="2" t="s">
        <v>91</v>
      </c>
    </row>
    <row r="60" ht="15.75" customHeight="1">
      <c r="A60" s="2" t="s">
        <v>103</v>
      </c>
      <c r="B60" s="2" t="s">
        <v>4</v>
      </c>
      <c r="C60" s="2" t="s">
        <v>82</v>
      </c>
    </row>
    <row r="61" ht="15.75" customHeight="1">
      <c r="A61" s="2" t="s">
        <v>103</v>
      </c>
      <c r="B61" s="2" t="s">
        <v>5</v>
      </c>
      <c r="C61" s="2" t="s">
        <v>87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>
      <c r="A2" s="1" t="s">
        <v>91</v>
      </c>
      <c r="B2" s="2">
        <v>3.0</v>
      </c>
      <c r="C2" s="2">
        <v>5.0</v>
      </c>
      <c r="D2" s="2">
        <v>3.0</v>
      </c>
      <c r="E2" s="2">
        <v>4.0</v>
      </c>
      <c r="F2" s="2">
        <v>2.0</v>
      </c>
    </row>
    <row r="3">
      <c r="A3" s="1" t="s">
        <v>82</v>
      </c>
      <c r="B3" s="2">
        <v>5.0</v>
      </c>
      <c r="C3" s="2">
        <v>2.0</v>
      </c>
      <c r="D3" s="2">
        <v>3.0</v>
      </c>
      <c r="E3" s="2">
        <v>2.0</v>
      </c>
      <c r="F3" s="2">
        <v>5.0</v>
      </c>
    </row>
    <row r="4">
      <c r="A4" s="1" t="s">
        <v>85</v>
      </c>
      <c r="B4" s="2">
        <v>3.0</v>
      </c>
      <c r="C4" s="2">
        <v>5.0</v>
      </c>
      <c r="D4" s="2">
        <v>3.0</v>
      </c>
      <c r="E4" s="2">
        <v>3.0</v>
      </c>
      <c r="F4" s="2">
        <v>2.0</v>
      </c>
    </row>
    <row r="5">
      <c r="A5" s="1" t="s">
        <v>84</v>
      </c>
      <c r="B5" s="2">
        <v>4.0</v>
      </c>
      <c r="C5" s="2">
        <v>2.0</v>
      </c>
      <c r="D5" s="2">
        <v>5.0</v>
      </c>
      <c r="E5" s="2">
        <v>2.0</v>
      </c>
      <c r="F5" s="2">
        <v>3.0</v>
      </c>
    </row>
    <row r="6">
      <c r="A6" s="1" t="s">
        <v>81</v>
      </c>
      <c r="B6" s="2">
        <v>5.0</v>
      </c>
      <c r="C6" s="2">
        <v>3.0</v>
      </c>
      <c r="D6" s="2">
        <v>4.0</v>
      </c>
      <c r="E6" s="2">
        <v>2.0</v>
      </c>
      <c r="F6" s="2">
        <v>3.0</v>
      </c>
    </row>
    <row r="7">
      <c r="A7" s="1" t="s">
        <v>93</v>
      </c>
      <c r="B7" s="2">
        <v>3.0</v>
      </c>
      <c r="C7" s="2">
        <v>3.0</v>
      </c>
      <c r="D7" s="2">
        <v>4.0</v>
      </c>
      <c r="E7" s="2">
        <v>2.0</v>
      </c>
      <c r="F7" s="2">
        <v>5.0</v>
      </c>
    </row>
    <row r="8">
      <c r="A8" s="1" t="s">
        <v>83</v>
      </c>
      <c r="B8" s="2">
        <v>2.0</v>
      </c>
      <c r="C8" s="2">
        <v>4.0</v>
      </c>
      <c r="D8" s="2">
        <v>2.0</v>
      </c>
      <c r="E8" s="2">
        <v>5.0</v>
      </c>
      <c r="F8" s="2">
        <v>3.0</v>
      </c>
    </row>
    <row r="9">
      <c r="A9" s="1" t="s">
        <v>92</v>
      </c>
      <c r="B9" s="2">
        <v>3.0</v>
      </c>
      <c r="C9" s="2">
        <v>4.0</v>
      </c>
      <c r="D9" s="2">
        <v>2.0</v>
      </c>
      <c r="E9" s="2">
        <v>5.0</v>
      </c>
      <c r="F9" s="2">
        <v>4.0</v>
      </c>
    </row>
    <row r="10">
      <c r="A10" s="1" t="s">
        <v>87</v>
      </c>
      <c r="B10" s="2">
        <v>3.0</v>
      </c>
      <c r="C10" s="2">
        <v>3.0</v>
      </c>
      <c r="D10" s="2">
        <v>5.0</v>
      </c>
      <c r="E10" s="2">
        <v>2.0</v>
      </c>
      <c r="F10" s="2">
        <v>4.0</v>
      </c>
    </row>
    <row r="11">
      <c r="A11" s="1" t="s">
        <v>97</v>
      </c>
      <c r="B11" s="2">
        <v>4.0</v>
      </c>
      <c r="C11" s="2">
        <v>3.0</v>
      </c>
      <c r="D11" s="2">
        <v>4.0</v>
      </c>
      <c r="E11" s="2">
        <v>2.0</v>
      </c>
      <c r="F11" s="2">
        <v>5.0</v>
      </c>
    </row>
    <row r="12">
      <c r="A12" s="1" t="s">
        <v>88</v>
      </c>
      <c r="B12" s="2">
        <v>2.0</v>
      </c>
      <c r="C12" s="2">
        <v>5.0</v>
      </c>
      <c r="D12" s="2">
        <v>3.0</v>
      </c>
      <c r="E12" s="2">
        <v>4.0</v>
      </c>
      <c r="F12" s="2">
        <v>3.0</v>
      </c>
    </row>
    <row r="13">
      <c r="A13" s="1" t="s">
        <v>89</v>
      </c>
      <c r="B13" s="2">
        <v>4.0</v>
      </c>
      <c r="C13" s="2">
        <v>2.0</v>
      </c>
      <c r="D13" s="2">
        <v>5.0</v>
      </c>
      <c r="E13" s="2">
        <v>2.0</v>
      </c>
      <c r="F13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80</v>
      </c>
      <c r="B1" s="1" t="s">
        <v>86</v>
      </c>
      <c r="C1" s="1" t="s">
        <v>90</v>
      </c>
      <c r="D1" s="1" t="s">
        <v>94</v>
      </c>
      <c r="E1" s="1" t="s">
        <v>95</v>
      </c>
      <c r="F1" s="1" t="s">
        <v>96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109</v>
      </c>
      <c r="N1" s="1" t="s">
        <v>110</v>
      </c>
      <c r="O1" s="1" t="s">
        <v>111</v>
      </c>
    </row>
    <row r="2">
      <c r="A2" s="2" t="s">
        <v>2</v>
      </c>
      <c r="B2" s="2" t="s">
        <v>5</v>
      </c>
      <c r="C2" s="2" t="s">
        <v>112</v>
      </c>
      <c r="D2" s="2" t="s">
        <v>5</v>
      </c>
      <c r="E2" s="2" t="s">
        <v>112</v>
      </c>
      <c r="F2" s="2" t="s">
        <v>3</v>
      </c>
      <c r="G2" s="2" t="s">
        <v>3</v>
      </c>
      <c r="H2" s="2" t="s">
        <v>112</v>
      </c>
      <c r="I2" s="2" t="s">
        <v>4</v>
      </c>
      <c r="J2" s="2" t="s">
        <v>112</v>
      </c>
      <c r="K2" s="2" t="s">
        <v>3</v>
      </c>
      <c r="L2" s="2" t="s">
        <v>3</v>
      </c>
      <c r="M2" s="2" t="str">
        <f t="array" ref="M2">INDEX(Scoring!A2:A13, MATCH(LARGE(Scoring!B2:B13, 1), Scoring!B2:B13, 0))</f>
        <v>The Disruptor</v>
      </c>
      <c r="N2" s="2" t="str">
        <f t="array" ref="N2">INDEX(Scoring!A2:A13, MATCH(LARGE(Scoring!B2:B13, 2), Scoring!B2:B13, 0))</f>
        <v>The Disruptor</v>
      </c>
      <c r="O2" s="2" t="str">
        <f t="shared" ref="O2:O3" si="1">M2 &amp; " + " &amp; N2</f>
        <v>The Disruptor + The Disruptor</v>
      </c>
    </row>
    <row r="3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2" t="str">
        <f t="array" ref="M3">INDEX(Scoring!A3:A14, MATCH(LARGE(Scoring!B3:B14, 1), Scoring!B3:B14, 0))</f>
        <v>The Disruptor</v>
      </c>
      <c r="N3" s="2" t="str">
        <f t="array" ref="N3">INDEX(Scoring!A3:A14, MATCH(LARGE(Scoring!B3:B14, 2), Scoring!B3:B14, 0))</f>
        <v>The Disruptor</v>
      </c>
      <c r="O3" s="2" t="str">
        <f t="shared" si="1"/>
        <v>The Disruptor + The Disruptor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79</v>
      </c>
      <c r="B1" s="1" t="s">
        <v>113</v>
      </c>
    </row>
    <row r="2">
      <c r="A2" s="2" t="s">
        <v>91</v>
      </c>
      <c r="B2" s="2">
        <f>COUNTIFS('Answer Key'!A:A, "Q1", 'Answer Key'!B:B, 'Quiz Responses'!A2, 'Answer Key'!C:C, "The Multidisciplinary") + COUNTIFS('Answer Key'!A:A, "Q2", 'Answer Key'!B:B, 'Quiz Responses'!B2, 'Answer Key'!C:C, "The Multidisciplinary") + COUNTIFS('Answer Key'!A:A, "Q3", 'Answer Key'!B:B, 'Quiz Responses'!C2, 'Answer Key'!C:C, "The Multidisciplinary") + COUNTIFS('Answer Key'!A:A, "Q4", 'Answer Key'!B:B, 'Quiz Responses'!D2, 'Answer Key'!C:C, "The Multidisciplinary") + COUNTIFS('Answer Key'!A:A, "Q5", 'Answer Key'!B:B, 'Quiz Responses'!E2, 'Answer Key'!C:C, "The Multidisciplinary") + COUNTIFS('Answer Key'!A:A, "Q6", 'Answer Key'!B:B, 'Quiz Responses'!F2, 'Answer Key'!C:C, "The Multidisciplinary") + COUNTIFS('Answer Key'!A:A, "Q7", 'Answer Key'!B:B, 'Quiz Responses'!G2, 'Answer Key'!C:C, "The Multidisciplinary") + COUNTIFS('Answer Key'!A:A, "Q8", 'Answer Key'!B:B, 'Quiz Responses'!H2, 'Answer Key'!C:C, "The Multidisciplinary") + COUNTIFS('Answer Key'!A:A, "Q9", 'Answer Key'!B:B, 'Quiz Responses'!I2, 'Answer Key'!C:C, "The Multidisciplinary") + COUNTIFS('Answer Key'!A:A, "Q10", 'Answer Key'!B:B, 'Quiz Responses'!J2, 'Answer Key'!C:C, "The Multidisciplinary") + COUNTIFS('Answer Key'!A:A, "Q11", 'Answer Key'!B:B, 'Quiz Responses'!K2, 'Answer Key'!C:C, "The Multidisciplinary") + COUNTIFS('Answer Key'!A:A, "Q12", 'Answer Key'!B:B, 'Quiz Responses'!L2, 'Answer Key'!C:C, "The Multidisciplinary")</f>
        <v>1</v>
      </c>
    </row>
    <row r="3">
      <c r="A3" s="2" t="s">
        <v>82</v>
      </c>
      <c r="B3" s="2">
        <f>COUNTIFS('Answer Key'!A:A, "Q1", 'Answer Key'!B:B, 'Quiz Responses'!A2, 'Answer Key'!C:C, "The Researcher") + COUNTIFS('Answer Key'!A:A, "Q2", 'Answer Key'!B:B, 'Quiz Responses'!B2, 'Answer Key'!C:C, "The Researcher") + COUNTIFS('Answer Key'!A:A, "Q3", 'Answer Key'!B:B, 'Quiz Responses'!C2, 'Answer Key'!C:C, "The Researcher") + COUNTIFS('Answer Key'!A:A, "Q4", 'Answer Key'!B:B, 'Quiz Responses'!D2, 'Answer Key'!C:C, "The Researcher") + COUNTIFS('Answer Key'!A:A, "Q5", 'Answer Key'!B:B, 'Quiz Responses'!E2, 'Answer Key'!C:C, "The Researcher") + COUNTIFS('Answer Key'!A:A, "Q6", 'Answer Key'!B:B, 'Quiz Responses'!F2, 'Answer Key'!C:C, "The Researcher") + COUNTIFS('Answer Key'!A:A, "Q7", 'Answer Key'!B:B, 'Quiz Responses'!G2, 'Answer Key'!C:C, "The Researcher") + COUNTIFS('Answer Key'!A:A, "Q8", 'Answer Key'!B:B, 'Quiz Responses'!H2, 'Answer Key'!C:C, "The Researcher") + COUNTIFS('Answer Key'!A:A, "Q9", 'Answer Key'!B:B, 'Quiz Responses'!I2, 'Answer Key'!C:C, "The Researcher") + COUNTIFS('Answer Key'!A:A, "Q10", 'Answer Key'!B:B, 'Quiz Responses'!J2, 'Answer Key'!C:C, "The Researcher") + COUNTIFS('Answer Key'!A:A, "Q11", 'Answer Key'!B:B, 'Quiz Responses'!K2, 'Answer Key'!C:C, "The Researcher") + COUNTIFS('Answer Key'!A:A, "Q12", 'Answer Key'!B:B, 'Quiz Responses'!L2, 'Answer Key'!C:C, "The Researcher")</f>
        <v>1</v>
      </c>
    </row>
    <row r="4">
      <c r="A4" s="2" t="s">
        <v>85</v>
      </c>
      <c r="B4" s="2">
        <f>COUNTIFS('Answer Key'!A:A, "Q1", 'Answer Key'!B:B, 'Quiz Responses'!A2, 'Answer Key'!C:C, "The Generalist") + COUNTIFS('Answer Key'!A:A, "Q2", 'Answer Key'!B:B, 'Quiz Responses'!B2, 'Answer Key'!C:C, "The Generalist") + COUNTIFS('Answer Key'!A:A, "Q3", 'Answer Key'!B:B, 'Quiz Responses'!C2, 'Answer Key'!C:C, "The Generalist") + COUNTIFS('Answer Key'!A:A, "Q4", 'Answer Key'!B:B, 'Quiz Responses'!D2, 'Answer Key'!C:C, "The Generalist") + COUNTIFS('Answer Key'!A:A, "Q5", 'Answer Key'!B:B, 'Quiz Responses'!E2, 'Answer Key'!C:C, "The Generalist") + COUNTIFS('Answer Key'!A:A, "Q6", 'Answer Key'!B:B, 'Quiz Responses'!F2, 'Answer Key'!C:C, "The Generalist") + COUNTIFS('Answer Key'!A:A, "Q7", 'Answer Key'!B:B, 'Quiz Responses'!G2, 'Answer Key'!C:C, "The Generalist") + COUNTIFS('Answer Key'!A:A, "Q8", 'Answer Key'!B:B, 'Quiz Responses'!H2, 'Answer Key'!C:C, "The Generalist") + COUNTIFS('Answer Key'!A:A, "Q9", 'Answer Key'!B:B, 'Quiz Responses'!I2, 'Answer Key'!C:C, "The Generalist") + COUNTIFS('Answer Key'!A:A, "Q10", 'Answer Key'!B:B, 'Quiz Responses'!J2, 'Answer Key'!C:C, "The Generalist") + COUNTIFS('Answer Key'!A:A, "Q11", 'Answer Key'!B:B, 'Quiz Responses'!K2, 'Answer Key'!C:C, "The Generalist") + COUNTIFS('Answer Key'!A:A, "Q12", 'Answer Key'!B:B, 'Quiz Responses'!L2, 'Answer Key'!C:C, "The Generalist")</f>
        <v>1</v>
      </c>
    </row>
    <row r="5">
      <c r="A5" s="2" t="s">
        <v>84</v>
      </c>
      <c r="B5" s="2">
        <f>COUNTIFS('Answer Key'!A:A, "Q1", 'Answer Key'!B:B, 'Quiz Responses'!A2, 'Answer Key'!C:C, "The Director") + COUNTIFS('Answer Key'!A:A, "Q2", 'Answer Key'!B:B, 'Quiz Responses'!B2, 'Answer Key'!C:C, "The Director") + COUNTIFS('Answer Key'!A:A, "Q3", 'Answer Key'!B:B, 'Quiz Responses'!C2, 'Answer Key'!C:C, "The Director") + COUNTIFS('Answer Key'!A:A, "Q4", 'Answer Key'!B:B, 'Quiz Responses'!D2, 'Answer Key'!C:C, "The Director") + COUNTIFS('Answer Key'!A:A, "Q5", 'Answer Key'!B:B, 'Quiz Responses'!E2, 'Answer Key'!C:C, "The Director") + COUNTIFS('Answer Key'!A:A, "Q6", 'Answer Key'!B:B, 'Quiz Responses'!F2, 'Answer Key'!C:C, "The Director") + COUNTIFS('Answer Key'!A:A, "Q7", 'Answer Key'!B:B, 'Quiz Responses'!G2, 'Answer Key'!C:C, "The Director") + COUNTIFS('Answer Key'!A:A, "Q8", 'Answer Key'!B:B, 'Quiz Responses'!H2, 'Answer Key'!C:C, "The Director") + COUNTIFS('Answer Key'!A:A, "Q9", 'Answer Key'!B:B, 'Quiz Responses'!I2, 'Answer Key'!C:C, "The Director") + COUNTIFS('Answer Key'!A:A, "Q10", 'Answer Key'!B:B, 'Quiz Responses'!J2, 'Answer Key'!C:C, "The Director") + COUNTIFS('Answer Key'!A:A, "Q11", 'Answer Key'!B:B, 'Quiz Responses'!K2, 'Answer Key'!C:C, "The Director") + COUNTIFS('Answer Key'!A:A, "Q12", 'Answer Key'!B:B, 'Quiz Responses'!L2, 'Answer Key'!C:C, "The Director")</f>
        <v>0</v>
      </c>
    </row>
    <row r="6">
      <c r="A6" s="2" t="s">
        <v>81</v>
      </c>
      <c r="B6" s="2">
        <f>COUNTIFS('Answer Key'!A:A, "Q1", 'Answer Key'!B:B, 'Quiz Responses'!A2, 'Answer Key'!C:C, "The Orchestrator") + COUNTIFS('Answer Key'!A:A, "Q2", 'Answer Key'!B:B, 'Quiz Responses'!B2, 'Answer Key'!C:C, "The Orchestrator") + COUNTIFS('Answer Key'!A:A, "Q3", 'Answer Key'!B:B, 'Quiz Responses'!C2, 'Answer Key'!C:C, "The Orchestrator") + COUNTIFS('Answer Key'!A:A, "Q4", 'Answer Key'!B:B, 'Quiz Responses'!D2, 'Answer Key'!C:C, "The Orchestrator") + COUNTIFS('Answer Key'!A:A, "Q5", 'Answer Key'!B:B, 'Quiz Responses'!E2, 'Answer Key'!C:C, "The Orchestrator") + COUNTIFS('Answer Key'!A:A, "Q6", 'Answer Key'!B:B, 'Quiz Responses'!F2, 'Answer Key'!C:C, "The Orchestrator") + COUNTIFS('Answer Key'!A:A, "Q7", 'Answer Key'!B:B, 'Quiz Responses'!G2, 'Answer Key'!C:C, "The Orchestrator") + COUNTIFS('Answer Key'!A:A, "Q8", 'Answer Key'!B:B, 'Quiz Responses'!H2, 'Answer Key'!C:C, "The Orchestrator") + COUNTIFS('Answer Key'!A:A, "Q9", 'Answer Key'!B:B, 'Quiz Responses'!I2, 'Answer Key'!C:C, "The Orchestrator") + COUNTIFS('Answer Key'!A:A, "Q10", 'Answer Key'!B:B, 'Quiz Responses'!J2, 'Answer Key'!C:C, "The Orchestrator") + COUNTIFS('Answer Key'!A:A, "Q11", 'Answer Key'!B:B, 'Quiz Responses'!K2, 'Answer Key'!C:C, "The Orchestrator") + COUNTIFS('Answer Key'!A:A, "Q12", 'Answer Key'!B:B, 'Quiz Responses'!L2, 'Answer Key'!C:C, "The Orchestrator")</f>
        <v>0</v>
      </c>
    </row>
    <row r="7">
      <c r="A7" s="2" t="s">
        <v>93</v>
      </c>
      <c r="B7" s="2">
        <f>COUNTIFS('Answer Key'!A:A, "Q1", 'Answer Key'!B:B, 'Quiz Responses'!A2, 'Answer Key'!C:C, "The Advocate") + COUNTIFS('Answer Key'!A:A, "Q2", 'Answer Key'!B:B, 'Quiz Responses'!B2, 'Answer Key'!C:C, "The Advocate") + COUNTIFS('Answer Key'!A:A, "Q3", 'Answer Key'!B:B, 'Quiz Responses'!C2, 'Answer Key'!C:C, "The Advocate") + COUNTIFS('Answer Key'!A:A, "Q4", 'Answer Key'!B:B, 'Quiz Responses'!D2, 'Answer Key'!C:C, "The Advocate") + COUNTIFS('Answer Key'!A:A, "Q5", 'Answer Key'!B:B, 'Quiz Responses'!E2, 'Answer Key'!C:C, "The Advocate") + COUNTIFS('Answer Key'!A:A, "Q6", 'Answer Key'!B:B, 'Quiz Responses'!F2, 'Answer Key'!C:C, "The Advocate") + COUNTIFS('Answer Key'!A:A, "Q7", 'Answer Key'!B:B, 'Quiz Responses'!G2, 'Answer Key'!C:C, "The Advocate") + COUNTIFS('Answer Key'!A:A, "Q8", 'Answer Key'!B:B, 'Quiz Responses'!H2, 'Answer Key'!C:C, "The Advocate") + COUNTIFS('Answer Key'!A:A, "Q9", 'Answer Key'!B:B, 'Quiz Responses'!I2, 'Answer Key'!C:C, "The Advocate") + COUNTIFS('Answer Key'!A:A, "Q10", 'Answer Key'!B:B, 'Quiz Responses'!J2, 'Answer Key'!C:C, "The Advocate") + COUNTIFS('Answer Key'!A:A, "Q11", 'Answer Key'!B:B, 'Quiz Responses'!K2, 'Answer Key'!C:C, "The Advocate") + COUNTIFS('Answer Key'!A:A, "Q12", 'Answer Key'!B:B, 'Quiz Responses'!L2, 'Answer Key'!C:C, "The Advocate")</f>
        <v>1</v>
      </c>
    </row>
    <row r="8">
      <c r="A8" s="2" t="s">
        <v>83</v>
      </c>
      <c r="B8" s="2">
        <f>COUNTIFS('Answer Key'!A:A, "Q1", 'Answer Key'!B:B, 'Quiz Responses'!A2, 'Answer Key'!C:C, "The Experimentalist") + COUNTIFS('Answer Key'!A:A, "Q2", 'Answer Key'!B:B, 'Quiz Responses'!B2, 'Answer Key'!C:C, "The Experimentalist") + COUNTIFS('Answer Key'!A:A, "Q3", 'Answer Key'!B:B, 'Quiz Responses'!C2, 'Answer Key'!C:C, "The Experimentalist") + COUNTIFS('Answer Key'!A:A, "Q4", 'Answer Key'!B:B, 'Quiz Responses'!D2, 'Answer Key'!C:C, "The Experimentalist") + COUNTIFS('Answer Key'!A:A, "Q5", 'Answer Key'!B:B, 'Quiz Responses'!E2, 'Answer Key'!C:C, "The Experimentalist") + COUNTIFS('Answer Key'!A:A, "Q6", 'Answer Key'!B:B, 'Quiz Responses'!F2, 'Answer Key'!C:C, "The Experimentalist") + COUNTIFS('Answer Key'!A:A, "Q7", 'Answer Key'!B:B, 'Quiz Responses'!G2, 'Answer Key'!C:C, "The Experimentalist") + COUNTIFS('Answer Key'!A:A, "Q8", 'Answer Key'!B:B, 'Quiz Responses'!H2, 'Answer Key'!C:C, "The Experimentalist") + COUNTIFS('Answer Key'!A:A, "Q9", 'Answer Key'!B:B, 'Quiz Responses'!I2, 'Answer Key'!C:C, "The Experimentalist") + COUNTIFS('Answer Key'!A:A, "Q10", 'Answer Key'!B:B, 'Quiz Responses'!J2, 'Answer Key'!C:C, "The Experimentalist") + COUNTIFS('Answer Key'!A:A, "Q11", 'Answer Key'!B:B, 'Quiz Responses'!K2, 'Answer Key'!C:C, "The Experimentalist") + COUNTIFS('Answer Key'!A:A, "Q12", 'Answer Key'!B:B, 'Quiz Responses'!L2, 'Answer Key'!C:C, "The Experimentalist")</f>
        <v>0</v>
      </c>
    </row>
    <row r="9">
      <c r="A9" s="2" t="s">
        <v>92</v>
      </c>
      <c r="B9" s="2">
        <f>COUNTIFS('Answer Key'!A:A, "Q1", 'Answer Key'!B:B, 'Quiz Responses'!A2, 'Answer Key'!C:C, "The Disruptor") + COUNTIFS('Answer Key'!A:A, "Q2", 'Answer Key'!B:B, 'Quiz Responses'!B2, 'Answer Key'!C:C, "The Disruptor") + COUNTIFS('Answer Key'!A:A, "Q3", 'Answer Key'!B:B, 'Quiz Responses'!C2, 'Answer Key'!C:C, "The Disruptor") + COUNTIFS('Answer Key'!A:A, "Q4", 'Answer Key'!B:B, 'Quiz Responses'!D2, 'Answer Key'!C:C, "The Disruptor") + COUNTIFS('Answer Key'!A:A, "Q5", 'Answer Key'!B:B, 'Quiz Responses'!E2, 'Answer Key'!C:C, "The Disruptor") + COUNTIFS('Answer Key'!A:A, "Q6", 'Answer Key'!B:B, 'Quiz Responses'!F2, 'Answer Key'!C:C, "The Disruptor") + COUNTIFS('Answer Key'!A:A, "Q7", 'Answer Key'!B:B, 'Quiz Responses'!G2, 'Answer Key'!C:C, "The Disruptor") + COUNTIFS('Answer Key'!A:A, "Q8", 'Answer Key'!B:B, 'Quiz Responses'!H2, 'Answer Key'!C:C, "The Disruptor") + COUNTIFS('Answer Key'!A:A, "Q9", 'Answer Key'!B:B, 'Quiz Responses'!I2, 'Answer Key'!C:C, "The Disruptor") + COUNTIFS('Answer Key'!A:A, "Q10", 'Answer Key'!B:B, 'Quiz Responses'!J2, 'Answer Key'!C:C, "The Disruptor") + COUNTIFS('Answer Key'!A:A, "Q11", 'Answer Key'!B:B, 'Quiz Responses'!K2, 'Answer Key'!C:C, "The Disruptor") + COUNTIFS('Answer Key'!A:A, "Q12", 'Answer Key'!B:B, 'Quiz Responses'!L2, 'Answer Key'!C:C, "The Disruptor")</f>
        <v>2</v>
      </c>
    </row>
    <row r="10">
      <c r="A10" s="2" t="s">
        <v>87</v>
      </c>
      <c r="B10" s="2">
        <f>COUNTIFS('Answer Key'!A:A, "Q1", 'Answer Key'!B:B, 'Quiz Responses'!A2, 'Answer Key'!C:C, "The Connector") + COUNTIFS('Answer Key'!A:A, "Q2", 'Answer Key'!B:B, 'Quiz Responses'!B2, 'Answer Key'!C:C, "The Connector") + COUNTIFS('Answer Key'!A:A, "Q3", 'Answer Key'!B:B, 'Quiz Responses'!C2, 'Answer Key'!C:C, "The Connector") + COUNTIFS('Answer Key'!A:A, "Q4", 'Answer Key'!B:B, 'Quiz Responses'!D2, 'Answer Key'!C:C, "The Connector") + COUNTIFS('Answer Key'!A:A, "Q5", 'Answer Key'!B:B, 'Quiz Responses'!E2, 'Answer Key'!C:C, "The Connector") + COUNTIFS('Answer Key'!A:A, "Q6", 'Answer Key'!B:B, 'Quiz Responses'!F2, 'Answer Key'!C:C, "The Connector") + COUNTIFS('Answer Key'!A:A, "Q7", 'Answer Key'!B:B, 'Quiz Responses'!G2, 'Answer Key'!C:C, "The Connector") + COUNTIFS('Answer Key'!A:A, "Q8", 'Answer Key'!B:B, 'Quiz Responses'!H2, 'Answer Key'!C:C, "The Connector") + COUNTIFS('Answer Key'!A:A, "Q9", 'Answer Key'!B:B, 'Quiz Responses'!I2, 'Answer Key'!C:C, "The Connector") + COUNTIFS('Answer Key'!A:A, "Q10", 'Answer Key'!B:B, 'Quiz Responses'!J2, 'Answer Key'!C:C, "The Connector") + COUNTIFS('Answer Key'!A:A, "Q11", 'Answer Key'!B:B, 'Quiz Responses'!K2, 'Answer Key'!C:C, "The Connector") + COUNTIFS('Answer Key'!A:A, "Q12", 'Answer Key'!B:B, 'Quiz Responses'!L2, 'Answer Key'!C:C, "The Connector")</f>
        <v>0</v>
      </c>
    </row>
    <row r="11">
      <c r="A11" s="2" t="s">
        <v>97</v>
      </c>
      <c r="B11" s="2">
        <f>COUNTIFS('Answer Key'!A:A, "Q1", 'Answer Key'!B:B, 'Quiz Responses'!A2, 'Answer Key'!C:C, "The Idealist") + COUNTIFS('Answer Key'!A:A, "Q2", 'Answer Key'!B:B, 'Quiz Responses'!B2, 'Answer Key'!C:C, "The Idealist") + COUNTIFS('Answer Key'!A:A, "Q3", 'Answer Key'!B:B, 'Quiz Responses'!C2, 'Answer Key'!C:C, "The Idealist") + COUNTIFS('Answer Key'!A:A, "Q4", 'Answer Key'!B:B, 'Quiz Responses'!D2, 'Answer Key'!C:C, "The Idealist") + COUNTIFS('Answer Key'!A:A, "Q5", 'Answer Key'!B:B, 'Quiz Responses'!E2, 'Answer Key'!C:C, "The Idealist") + COUNTIFS('Answer Key'!A:A, "Q6", 'Answer Key'!B:B, 'Quiz Responses'!F2, 'Answer Key'!C:C, "The Idealist") + COUNTIFS('Answer Key'!A:A, "Q7", 'Answer Key'!B:B, 'Quiz Responses'!G2, 'Answer Key'!C:C, "The Idealist") + COUNTIFS('Answer Key'!A:A, "Q8", 'Answer Key'!B:B, 'Quiz Responses'!H2, 'Answer Key'!C:C, "The Idealist") + COUNTIFS('Answer Key'!A:A, "Q9", 'Answer Key'!B:B, 'Quiz Responses'!I2, 'Answer Key'!C:C, "The Idealist") + COUNTIFS('Answer Key'!A:A, "Q10", 'Answer Key'!B:B, 'Quiz Responses'!J2, 'Answer Key'!C:C, "The Idealist") + COUNTIFS('Answer Key'!A:A, "Q11", 'Answer Key'!B:B, 'Quiz Responses'!K2, 'Answer Key'!C:C, "The Idealist") + COUNTIFS('Answer Key'!A:A, "Q12", 'Answer Key'!B:B, 'Quiz Responses'!L2, 'Answer Key'!C:C, "The Idealist")</f>
        <v>0</v>
      </c>
    </row>
    <row r="12">
      <c r="A12" s="2" t="s">
        <v>88</v>
      </c>
      <c r="B12" s="2">
        <f>COUNTIFS('Answer Key'!A:A, "Q1", 'Answer Key'!B:B, 'Quiz Responses'!A2, 'Answer Key'!C:C, "The Improviser") + COUNTIFS('Answer Key'!A:A, "Q2", 'Answer Key'!B:B, 'Quiz Responses'!B2, 'Answer Key'!C:C, "The Improviser") + COUNTIFS('Answer Key'!A:A, "Q3", 'Answer Key'!B:B, 'Quiz Responses'!C2, 'Answer Key'!C:C, "The Improviser") + COUNTIFS('Answer Key'!A:A, "Q4", 'Answer Key'!B:B, 'Quiz Responses'!D2, 'Answer Key'!C:C, "The Improviser") + COUNTIFS('Answer Key'!A:A, "Q5", 'Answer Key'!B:B, 'Quiz Responses'!E2, 'Answer Key'!C:C, "The Improviser") + COUNTIFS('Answer Key'!A:A, "Q6", 'Answer Key'!B:B, 'Quiz Responses'!F2, 'Answer Key'!C:C, "The Improviser") + COUNTIFS('Answer Key'!A:A, "Q7", 'Answer Key'!B:B, 'Quiz Responses'!G2, 'Answer Key'!C:C, "The Improviser") + COUNTIFS('Answer Key'!A:A, "Q8", 'Answer Key'!B:B, 'Quiz Responses'!H2, 'Answer Key'!C:C, "The Improviser") + COUNTIFS('Answer Key'!A:A, "Q9", 'Answer Key'!B:B, 'Quiz Responses'!I2, 'Answer Key'!C:C, "The Improviser") + COUNTIFS('Answer Key'!A:A, "Q10", 'Answer Key'!B:B, 'Quiz Responses'!J2, 'Answer Key'!C:C, "The Improviser") + COUNTIFS('Answer Key'!A:A, "Q11", 'Answer Key'!B:B, 'Quiz Responses'!K2, 'Answer Key'!C:C, "The Improviser") + COUNTIFS('Answer Key'!A:A, "Q12", 'Answer Key'!B:B, 'Quiz Responses'!L2, 'Answer Key'!C:C, "The Improviser")</f>
        <v>2</v>
      </c>
    </row>
    <row r="13">
      <c r="A13" s="2" t="s">
        <v>89</v>
      </c>
      <c r="B13" s="2">
        <f>COUNTIFS('Answer Key'!A:A, "Q1", 'Answer Key'!B:B, 'Quiz Responses'!A2, 'Answer Key'!C:C, "The Educator") + COUNTIFS('Answer Key'!A:A, "Q2", 'Answer Key'!B:B, 'Quiz Responses'!B2, 'Answer Key'!C:C, "The Educator") + COUNTIFS('Answer Key'!A:A, "Q3", 'Answer Key'!B:B, 'Quiz Responses'!C2, 'Answer Key'!C:C, "The Educator") + COUNTIFS('Answer Key'!A:A, "Q4", 'Answer Key'!B:B, 'Quiz Responses'!D2, 'Answer Key'!C:C, "The Educator") + COUNTIFS('Answer Key'!A:A, "Q5", 'Answer Key'!B:B, 'Quiz Responses'!E2, 'Answer Key'!C:C, "The Educator") + COUNTIFS('Answer Key'!A:A, "Q6", 'Answer Key'!B:B, 'Quiz Responses'!F2, 'Answer Key'!C:C, "The Educator") + COUNTIFS('Answer Key'!A:A, "Q7", 'Answer Key'!B:B, 'Quiz Responses'!G2, 'Answer Key'!C:C, "The Educator") + COUNTIFS('Answer Key'!A:A, "Q8", 'Answer Key'!B:B, 'Quiz Responses'!H2, 'Answer Key'!C:C, "The Educator") + COUNTIFS('Answer Key'!A:A, "Q9", 'Answer Key'!B:B, 'Quiz Responses'!I2, 'Answer Key'!C:C, "The Educator") + COUNTIFS('Answer Key'!A:A, "Q10", 'Answer Key'!B:B, 'Quiz Responses'!J2, 'Answer Key'!C:C, "The Educator") + COUNTIFS('Answer Key'!A:A, "Q11", 'Answer Key'!B:B, 'Quiz Responses'!K2, 'Answer Key'!C:C, "The Educator") + COUNTIFS('Answer Key'!A:A, "Q12", 'Answer Key'!B:B, 'Quiz Responses'!L2, 'Answer Key'!C:C, "The Educator")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2025-04-05T06:50:54Z</dcterms:created>
  <dc:creator>openpyxl</dc:creator>
</cp:coreProperties>
</file>